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 University\Semester 4\PBO\Bidkita\bidkita-backend\"/>
    </mc:Choice>
  </mc:AlternateContent>
  <xr:revisionPtr revIDLastSave="0" documentId="13_ncr:1_{BEC81F03-8126-4F07-A8FD-C2B0BD0B9407}" xr6:coauthVersionLast="47" xr6:coauthVersionMax="47" xr10:uidLastSave="{00000000-0000-0000-0000-000000000000}"/>
  <bookViews>
    <workbookView xWindow="-120" yWindow="-120" windowWidth="29040" windowHeight="16440" xr2:uid="{DF5F1840-EE4A-4D1C-A640-11CDEEB3F7C8}"/>
  </bookViews>
  <sheets>
    <sheet name="class" sheetId="2" r:id="rId1"/>
    <sheet name="Sheet1" sheetId="1" r:id="rId2"/>
  </sheets>
  <definedNames>
    <definedName name="ExternalData_1" localSheetId="0" hidden="1">'class'!$A$1:$H$65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6" i="2" l="1"/>
  <c r="G66" i="2"/>
  <c r="F66" i="2"/>
  <c r="E66" i="2"/>
  <c r="D66" i="2"/>
  <c r="C6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988DE2-F336-442A-B405-E75D5F9CA423}" keepAlive="1" name="Query - class" description="Connection to the 'class' query in the workbook." type="5" refreshedVersion="8" background="1" saveData="1">
    <dbPr connection="Provider=Microsoft.Mashup.OleDb.1;Data Source=$Workbook$;Location=class;Extended Properties=&quot;&quot;" command="SELECT * FROM [class]"/>
  </connection>
</connections>
</file>

<file path=xl/sharedStrings.xml><?xml version="1.0" encoding="utf-8"?>
<sst xmlns="http://schemas.openxmlformats.org/spreadsheetml/2006/main" count="137" uniqueCount="75">
  <si>
    <t>class</t>
  </si>
  <si>
    <t>type</t>
  </si>
  <si>
    <t>cbo</t>
  </si>
  <si>
    <t>wmc</t>
  </si>
  <si>
    <t>dit</t>
  </si>
  <si>
    <t>noc</t>
  </si>
  <si>
    <t>rfc</t>
  </si>
  <si>
    <t>lcom</t>
  </si>
  <si>
    <t>com.bidkita.bidkita_backend.exception.BidTooLowException</t>
  </si>
  <si>
    <t>com.bidkita.bidkita_backend.model.enums.NotificationType</t>
  </si>
  <si>
    <t>enum</t>
  </si>
  <si>
    <t>com.bidkita.bidkita_backend.security.JwtFilter</t>
  </si>
  <si>
    <t>com.bidkita.bidkita_backend.repository.NotificationRepository</t>
  </si>
  <si>
    <t>interface</t>
  </si>
  <si>
    <t>com.bidkita.bidkita_backend.dto.request.LoginRequestDTO</t>
  </si>
  <si>
    <t>com.bidkita.bidkita_backend.exception.InvalidCredentialsException</t>
  </si>
  <si>
    <t>com.bidkita.bidkita_backend.model.Bid</t>
  </si>
  <si>
    <t>com.bidkita.bidkita_backend.scheduler.AuctionScheduler</t>
  </si>
  <si>
    <t>com.bidkita.bidkita_backend.controller.BuyerController</t>
  </si>
  <si>
    <t>com.bidkita.bidkita_backend.dto.response.ErrorResponseDTO</t>
  </si>
  <si>
    <t>com.bidkita.bidkita_backend.exception.GlobalExceptionHandler</t>
  </si>
  <si>
    <t>com.bidkita.bidkita_backend.security.JwtUtil</t>
  </si>
  <si>
    <t>com.bidkita.bidkita_backend.repository.UserRepository</t>
  </si>
  <si>
    <t>com.bidkita.bidkita_backend.controller.AuthController</t>
  </si>
  <si>
    <t>com.bidkita.bidkita_backend.controller.AdminController</t>
  </si>
  <si>
    <t>com.bidkita.bidkita_backend.dto.request.BidRequestDTO</t>
  </si>
  <si>
    <t>com.bidkita.bidkita_backend.model.enums.AuctionStatus</t>
  </si>
  <si>
    <t>com.bidkita.bidkita_backend.security.SecurityConfig</t>
  </si>
  <si>
    <t>com.bidkita.bidkita_backend.exception.AuctionNotOpenException</t>
  </si>
  <si>
    <t>com.bidkita.bidkita_backend.model.Auction</t>
  </si>
  <si>
    <t>com.bidkita.bidkita_backend.model.Buyer</t>
  </si>
  <si>
    <t>com.bidkita.bidkita_backend.dto.response.WalletResponseDTO</t>
  </si>
  <si>
    <t>com.bidkita.bidkita_backend.dto.response.BidHistoryResponseDTO</t>
  </si>
  <si>
    <t>com.bidkita.bidkita_backend.service.AuctionService</t>
  </si>
  <si>
    <t>com.bidkita.bidkita_backend.controller.SellerController</t>
  </si>
  <si>
    <t>com.bidkita.bidkita_backend.repository.AuctionRepository</t>
  </si>
  <si>
    <t>com.bidkita.bidkita_backend.BidkitaBackendApplication</t>
  </si>
  <si>
    <t>com.bidkita.bidkita_backend.model.WalletTransaction</t>
  </si>
  <si>
    <t>com.bidkita.bidkita_backend.exception.InsufficientBalanceException</t>
  </si>
  <si>
    <t>com.bidkita.bidkita_backend.model.ElectronicItem</t>
  </si>
  <si>
    <t>com.bidkita.bidkita_backend.model.VehicleItem</t>
  </si>
  <si>
    <t>com.bidkita.bidkita_backend.model.Admin</t>
  </si>
  <si>
    <t>com.bidkita.bidkita_backend.model.BookItem</t>
  </si>
  <si>
    <t>com.bidkita.bidkita_backend.service.BidService</t>
  </si>
  <si>
    <t>com.bidkita.bidkita_backend.config.DataSeeder</t>
  </si>
  <si>
    <t>com.bidkita.bidkita_backend.model.Item</t>
  </si>
  <si>
    <t>com.bidkita.bidkita_backend.model.Notification</t>
  </si>
  <si>
    <t>com.bidkita.bidkita_backend.service.NotificationService</t>
  </si>
  <si>
    <t>com.bidkita.bidkita_backend.service.WalletService</t>
  </si>
  <si>
    <t>com.bidkita.bidkita_backend.exception.ResourceNotFoundException</t>
  </si>
  <si>
    <t>com.bidkita.bidkita_backend.service.AuthService</t>
  </si>
  <si>
    <t>com.bidkita.bidkita_backend.controller.WalletController</t>
  </si>
  <si>
    <t>com.bidkita.bidkita_backend.repository.WalletRepository</t>
  </si>
  <si>
    <t>com.bidkita.bidkita_backend.controller.NotificationController</t>
  </si>
  <si>
    <t>com.bidkita.bidkita_backend.model.Seller</t>
  </si>
  <si>
    <t>com.bidkita.bidkita_backend.dto.request.TopUpRequestDTO</t>
  </si>
  <si>
    <t>com.bidkita.bidkita_backend.dto.response.MessageResponseDTO</t>
  </si>
  <si>
    <t>com.bidkita.bidkita_backend.exception.EmailAlreadyExistsException</t>
  </si>
  <si>
    <t>com.bidkita.bidkita_backend.dto.response.UserResponseDTO</t>
  </si>
  <si>
    <t>com.bidkita.bidkita_backend.dto.response.NotificationResponseDTO</t>
  </si>
  <si>
    <t>com.bidkita.bidkita_backend.dto.response.AuctionResponseDTO</t>
  </si>
  <si>
    <t>com.bidkita.bidkita_backend.repository.BidRepository</t>
  </si>
  <si>
    <t>com.bidkita.bidkita_backend.model.Wallet</t>
  </si>
  <si>
    <t>com.bidkita.bidkita_backend.service.ItemFactory</t>
  </si>
  <si>
    <t>com.bidkita.bidkita_backend.dto.request.RegisterRequestDTO</t>
  </si>
  <si>
    <t>com.bidkita.bidkita_backend.model.Biddable</t>
  </si>
  <si>
    <t>com.bidkita.bidkita_backend.model.FashionItem</t>
  </si>
  <si>
    <t>com.bidkita.bidkita_backend.controller.AuctionController</t>
  </si>
  <si>
    <t>com.bidkita.bidkita_backend.dto.response.LoginResponseDTO</t>
  </si>
  <si>
    <t>com.bidkita.bidkita_backend.model.enums.TransactionType</t>
  </si>
  <si>
    <t>com.bidkita.bidkita_backend.dto.response.WalletTransactionResponseDTO</t>
  </si>
  <si>
    <t>com.bidkita.bidkita_backend.dto.request.CreateAuctionRequestDTO</t>
  </si>
  <si>
    <t>com.bidkita.bidkita_backend.model.User</t>
  </si>
  <si>
    <t>com.bidkita.bidkita_backend.repository.ItemRepository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</si>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</sst>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0825E3-9124-4558-A84E-2BA933426586}" autoFormatId="16" applyNumberFormats="0" applyBorderFormats="0" applyFontFormats="0" applyPatternFormats="0" applyAlignmentFormats="0" applyWidthHeightFormats="0">
  <queryTableRefresh nextId="9">
    <queryTableFields count="8">
      <queryTableField id="1" name="class" tableColumnId="1"/>
      <queryTableField id="2" name="type" tableColumnId="2"/>
      <queryTableField id="3" name="cbo" tableColumnId="3"/>
      <queryTableField id="4" name="wmc" tableColumnId="4"/>
      <queryTableField id="5" name="dit" tableColumnId="5"/>
      <queryTableField id="6" name="noc" tableColumnId="6"/>
      <queryTableField id="7" name="rfc" tableColumnId="7"/>
      <queryTableField id="8" name="lco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D8C68-E70C-40D5-8FB1-699E627502C5}" name="class" displayName="class" ref="A1:H66" tableType="queryTable" totalsRowCount="1">
  <autoFilter ref="A1:H65" xr:uid="{C8AD8C68-E70C-40D5-8FB1-699E627502C5}"/>
  <tableColumns count="8">
    <tableColumn id="1" xr3:uid="{90781B09-11AD-45C8-86CF-136C2E35350B}" uniqueName="1" name="class" totalsRowLabel="AVERAGE" queryTableFieldId="1" dataDxfId="1"/>
    <tableColumn id="2" xr3:uid="{BAB363D2-CAFE-456A-98AF-1BE1ED015179}" uniqueName="2" name="type" queryTableFieldId="2" dataDxfId="0"/>
    <tableColumn id="3" xr3:uid="{1188D1BE-642C-4A8B-A8CB-3B6EDFE1FA08}" uniqueName="3" name="cbo" totalsRowFunction="average" queryTableFieldId="3"/>
    <tableColumn id="4" xr3:uid="{D884E8B7-4CB8-495C-A8F2-933B6F3CA73B}" uniqueName="4" name="wmc" totalsRowFunction="average" queryTableFieldId="4"/>
    <tableColumn id="5" xr3:uid="{7FA15FD9-E669-4535-BDF9-F71479D0D9D8}" uniqueName="5" name="dit" totalsRowFunction="average" queryTableFieldId="5"/>
    <tableColumn id="6" xr3:uid="{4385DF47-C264-4B1D-9CAB-FB86A9C90DC4}" uniqueName="6" name="noc" totalsRowFunction="average" queryTableFieldId="6"/>
    <tableColumn id="7" xr3:uid="{9F8BEE0E-A56C-4714-B4FC-F8AE256D8E8A}" uniqueName="7" name="rfc" totalsRowFunction="average" queryTableFieldId="7"/>
    <tableColumn id="8" xr3:uid="{A1C37D0A-FE78-4F70-807E-547AED61DA3A}" uniqueName="8" name="lcom" totalsRowFunction="averag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7492-8096-4DC4-AE4A-94F4982F4E98}">
  <dimension ref="A1:H66"/>
  <sheetViews>
    <sheetView tabSelected="1" topLeftCell="A43" workbookViewId="0">
      <selection activeCell="K59" sqref="K59"/>
    </sheetView>
  </sheetViews>
  <sheetFormatPr defaultRowHeight="15" x14ac:dyDescent="0.25"/>
  <cols>
    <col min="1" max="1" width="69.85546875" bestFit="1" customWidth="1"/>
    <col min="2" max="2" width="8.7109375" bestFit="1" customWidth="1"/>
    <col min="3" max="3" width="6.5703125" bestFit="1" customWidth="1"/>
    <col min="4" max="4" width="7.42578125" bestFit="1" customWidth="1"/>
    <col min="5" max="5" width="5.7109375" bestFit="1" customWidth="1"/>
    <col min="6" max="6" width="6.5703125" bestFit="1" customWidth="1"/>
    <col min="7" max="7" width="5.7109375" bestFit="1" customWidth="1"/>
    <col min="8" max="8" width="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0</v>
      </c>
      <c r="C2">
        <v>0</v>
      </c>
      <c r="D2">
        <v>2</v>
      </c>
      <c r="E2">
        <v>4</v>
      </c>
      <c r="F2">
        <v>0</v>
      </c>
      <c r="G2">
        <v>0</v>
      </c>
      <c r="H2">
        <v>1</v>
      </c>
    </row>
    <row r="3" spans="1:8" x14ac:dyDescent="0.25">
      <c r="A3" s="1" t="s">
        <v>9</v>
      </c>
      <c r="B3" s="1" t="s">
        <v>10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</row>
    <row r="4" spans="1:8" x14ac:dyDescent="0.25">
      <c r="A4" s="1" t="s">
        <v>11</v>
      </c>
      <c r="B4" s="1" t="s">
        <v>0</v>
      </c>
      <c r="C4">
        <v>8</v>
      </c>
      <c r="D4">
        <v>5</v>
      </c>
      <c r="E4">
        <v>2</v>
      </c>
      <c r="F4">
        <v>0</v>
      </c>
      <c r="G4">
        <v>10</v>
      </c>
      <c r="H4">
        <v>0</v>
      </c>
    </row>
    <row r="5" spans="1:8" x14ac:dyDescent="0.25">
      <c r="A5" s="1" t="s">
        <v>12</v>
      </c>
      <c r="B5" s="1" t="s">
        <v>13</v>
      </c>
      <c r="C5">
        <v>2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5">
      <c r="A6" s="1" t="s">
        <v>14</v>
      </c>
      <c r="B6" s="1" t="s">
        <v>0</v>
      </c>
      <c r="C6">
        <v>3</v>
      </c>
      <c r="D6">
        <v>0</v>
      </c>
      <c r="E6">
        <v>1</v>
      </c>
      <c r="F6">
        <v>0</v>
      </c>
      <c r="G6">
        <v>0</v>
      </c>
      <c r="H6">
        <v>0</v>
      </c>
    </row>
    <row r="7" spans="1:8" x14ac:dyDescent="0.25">
      <c r="A7" s="1" t="s">
        <v>15</v>
      </c>
      <c r="B7" s="1" t="s">
        <v>0</v>
      </c>
      <c r="C7">
        <v>0</v>
      </c>
      <c r="D7">
        <v>2</v>
      </c>
      <c r="E7">
        <v>4</v>
      </c>
      <c r="F7">
        <v>0</v>
      </c>
      <c r="G7">
        <v>0</v>
      </c>
      <c r="H7">
        <v>1</v>
      </c>
    </row>
    <row r="8" spans="1:8" x14ac:dyDescent="0.25">
      <c r="A8" s="1" t="s">
        <v>16</v>
      </c>
      <c r="B8" s="1" t="s">
        <v>0</v>
      </c>
      <c r="C8">
        <v>10</v>
      </c>
      <c r="D8">
        <v>10</v>
      </c>
      <c r="E8">
        <v>1</v>
      </c>
      <c r="F8">
        <v>0</v>
      </c>
      <c r="G8">
        <v>2</v>
      </c>
      <c r="H8">
        <v>13</v>
      </c>
    </row>
    <row r="9" spans="1:8" x14ac:dyDescent="0.25">
      <c r="A9" s="1" t="s">
        <v>17</v>
      </c>
      <c r="B9" s="1" t="s">
        <v>0</v>
      </c>
      <c r="C9">
        <v>9</v>
      </c>
      <c r="D9">
        <v>10</v>
      </c>
      <c r="E9">
        <v>1</v>
      </c>
      <c r="F9">
        <v>0</v>
      </c>
      <c r="G9">
        <v>15</v>
      </c>
      <c r="H9">
        <v>0</v>
      </c>
    </row>
    <row r="10" spans="1:8" x14ac:dyDescent="0.25">
      <c r="A10" s="1" t="s">
        <v>18</v>
      </c>
      <c r="B10" s="1" t="s">
        <v>0</v>
      </c>
      <c r="C10">
        <v>7</v>
      </c>
      <c r="D10">
        <v>2</v>
      </c>
      <c r="E10">
        <v>1</v>
      </c>
      <c r="F10">
        <v>0</v>
      </c>
      <c r="G10">
        <v>5</v>
      </c>
      <c r="H10">
        <v>0</v>
      </c>
    </row>
    <row r="11" spans="1:8" x14ac:dyDescent="0.25">
      <c r="A11" s="1" t="s">
        <v>19</v>
      </c>
      <c r="B11" s="1" t="s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</row>
    <row r="12" spans="1:8" x14ac:dyDescent="0.25">
      <c r="A12" s="1" t="s">
        <v>20</v>
      </c>
      <c r="B12" s="1" t="s">
        <v>0</v>
      </c>
      <c r="C12">
        <v>12</v>
      </c>
      <c r="D12">
        <v>9</v>
      </c>
      <c r="E12">
        <v>1</v>
      </c>
      <c r="F12">
        <v>0</v>
      </c>
      <c r="G12">
        <v>8</v>
      </c>
      <c r="H12">
        <v>36</v>
      </c>
    </row>
    <row r="13" spans="1:8" x14ac:dyDescent="0.25">
      <c r="A13" s="1" t="s">
        <v>21</v>
      </c>
      <c r="B13" s="1" t="s">
        <v>0</v>
      </c>
      <c r="C13">
        <v>4</v>
      </c>
      <c r="D13">
        <v>7</v>
      </c>
      <c r="E13">
        <v>1</v>
      </c>
      <c r="F13">
        <v>0</v>
      </c>
      <c r="G13">
        <v>18</v>
      </c>
      <c r="H13">
        <v>9</v>
      </c>
    </row>
    <row r="14" spans="1:8" x14ac:dyDescent="0.25">
      <c r="A14" s="1" t="s">
        <v>22</v>
      </c>
      <c r="B14" s="1" t="s">
        <v>13</v>
      </c>
      <c r="C14">
        <v>2</v>
      </c>
      <c r="D14">
        <v>3</v>
      </c>
      <c r="E14">
        <v>1</v>
      </c>
      <c r="F14">
        <v>0</v>
      </c>
      <c r="G14">
        <v>0</v>
      </c>
      <c r="H14">
        <v>3</v>
      </c>
    </row>
    <row r="15" spans="1:8" x14ac:dyDescent="0.25">
      <c r="A15" s="1" t="s">
        <v>23</v>
      </c>
      <c r="B15" s="1" t="s">
        <v>0</v>
      </c>
      <c r="C15">
        <v>11</v>
      </c>
      <c r="D15">
        <v>4</v>
      </c>
      <c r="E15">
        <v>1</v>
      </c>
      <c r="F15">
        <v>0</v>
      </c>
      <c r="G15">
        <v>10</v>
      </c>
      <c r="H15">
        <v>0</v>
      </c>
    </row>
    <row r="16" spans="1:8" x14ac:dyDescent="0.25">
      <c r="A16" s="1" t="s">
        <v>24</v>
      </c>
      <c r="B16" s="1" t="s">
        <v>0</v>
      </c>
      <c r="C16">
        <v>9</v>
      </c>
      <c r="D16">
        <v>3</v>
      </c>
      <c r="E16">
        <v>1</v>
      </c>
      <c r="F16">
        <v>0</v>
      </c>
      <c r="G16">
        <v>3</v>
      </c>
      <c r="H16">
        <v>0</v>
      </c>
    </row>
    <row r="17" spans="1:8" x14ac:dyDescent="0.25">
      <c r="A17" s="1" t="s">
        <v>25</v>
      </c>
      <c r="B17" s="1" t="s">
        <v>0</v>
      </c>
      <c r="C17">
        <v>3</v>
      </c>
      <c r="D17">
        <v>0</v>
      </c>
      <c r="E17">
        <v>1</v>
      </c>
      <c r="F17">
        <v>0</v>
      </c>
      <c r="G17">
        <v>0</v>
      </c>
      <c r="H17">
        <v>0</v>
      </c>
    </row>
    <row r="18" spans="1:8" x14ac:dyDescent="0.25">
      <c r="A18" s="1" t="s">
        <v>26</v>
      </c>
      <c r="B18" s="1" t="s">
        <v>10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 x14ac:dyDescent="0.25">
      <c r="A19" s="1" t="s">
        <v>27</v>
      </c>
      <c r="B19" s="1" t="s">
        <v>0</v>
      </c>
      <c r="C19">
        <v>12</v>
      </c>
      <c r="D19">
        <v>4</v>
      </c>
      <c r="E19">
        <v>1</v>
      </c>
      <c r="F19">
        <v>0</v>
      </c>
      <c r="G19">
        <v>27</v>
      </c>
      <c r="H19">
        <v>4</v>
      </c>
    </row>
    <row r="20" spans="1:8" x14ac:dyDescent="0.25">
      <c r="A20" s="1" t="s">
        <v>28</v>
      </c>
      <c r="B20" s="1" t="s">
        <v>0</v>
      </c>
      <c r="C20">
        <v>0</v>
      </c>
      <c r="D20">
        <v>2</v>
      </c>
      <c r="E20">
        <v>4</v>
      </c>
      <c r="F20">
        <v>0</v>
      </c>
      <c r="G20">
        <v>0</v>
      </c>
      <c r="H20">
        <v>1</v>
      </c>
    </row>
    <row r="21" spans="1:8" x14ac:dyDescent="0.25">
      <c r="A21" s="1" t="s">
        <v>29</v>
      </c>
      <c r="B21" s="1" t="s">
        <v>0</v>
      </c>
      <c r="C21">
        <v>22</v>
      </c>
      <c r="D21">
        <v>45</v>
      </c>
      <c r="E21">
        <v>1</v>
      </c>
      <c r="F21">
        <v>0</v>
      </c>
      <c r="G21">
        <v>14</v>
      </c>
      <c r="H21">
        <v>118</v>
      </c>
    </row>
    <row r="22" spans="1:8" x14ac:dyDescent="0.25">
      <c r="A22" s="1" t="s">
        <v>30</v>
      </c>
      <c r="B22" s="1" t="s">
        <v>0</v>
      </c>
      <c r="C22">
        <v>13</v>
      </c>
      <c r="D22">
        <v>14</v>
      </c>
      <c r="E22">
        <v>2</v>
      </c>
      <c r="F22">
        <v>0</v>
      </c>
      <c r="G22">
        <v>9</v>
      </c>
      <c r="H22">
        <v>22</v>
      </c>
    </row>
    <row r="23" spans="1:8" x14ac:dyDescent="0.25">
      <c r="A23" s="1" t="s">
        <v>31</v>
      </c>
      <c r="B23" s="1" t="s">
        <v>0</v>
      </c>
      <c r="C23">
        <v>4</v>
      </c>
      <c r="D23">
        <v>0</v>
      </c>
      <c r="E23">
        <v>1</v>
      </c>
      <c r="F23">
        <v>0</v>
      </c>
      <c r="G23">
        <v>0</v>
      </c>
      <c r="H23">
        <v>0</v>
      </c>
    </row>
    <row r="24" spans="1:8" x14ac:dyDescent="0.25">
      <c r="A24" s="1" t="s">
        <v>32</v>
      </c>
      <c r="B24" s="1" t="s">
        <v>0</v>
      </c>
      <c r="C24">
        <v>3</v>
      </c>
      <c r="D24">
        <v>0</v>
      </c>
      <c r="E24">
        <v>1</v>
      </c>
      <c r="F24">
        <v>0</v>
      </c>
      <c r="G24">
        <v>0</v>
      </c>
      <c r="H24">
        <v>0</v>
      </c>
    </row>
    <row r="25" spans="1:8" x14ac:dyDescent="0.25">
      <c r="A25" s="1" t="s">
        <v>33</v>
      </c>
      <c r="B25" s="1" t="s">
        <v>0</v>
      </c>
      <c r="C25">
        <v>18</v>
      </c>
      <c r="D25">
        <v>33</v>
      </c>
      <c r="E25">
        <v>1</v>
      </c>
      <c r="F25">
        <v>0</v>
      </c>
      <c r="G25">
        <v>53</v>
      </c>
      <c r="H25">
        <v>0</v>
      </c>
    </row>
    <row r="26" spans="1:8" x14ac:dyDescent="0.25">
      <c r="A26" s="1" t="s">
        <v>34</v>
      </c>
      <c r="B26" s="1" t="s">
        <v>0</v>
      </c>
      <c r="C26">
        <v>7</v>
      </c>
      <c r="D26">
        <v>2</v>
      </c>
      <c r="E26">
        <v>1</v>
      </c>
      <c r="F26">
        <v>0</v>
      </c>
      <c r="G26">
        <v>5</v>
      </c>
      <c r="H26">
        <v>0</v>
      </c>
    </row>
    <row r="27" spans="1:8" x14ac:dyDescent="0.25">
      <c r="A27" s="1" t="s">
        <v>35</v>
      </c>
      <c r="B27" s="1" t="s">
        <v>13</v>
      </c>
      <c r="C27">
        <v>3</v>
      </c>
      <c r="D27">
        <v>3</v>
      </c>
      <c r="E27">
        <v>1</v>
      </c>
      <c r="F27">
        <v>0</v>
      </c>
      <c r="G27">
        <v>0</v>
      </c>
      <c r="H27">
        <v>3</v>
      </c>
    </row>
    <row r="28" spans="1:8" x14ac:dyDescent="0.25">
      <c r="A28" s="1" t="s">
        <v>36</v>
      </c>
      <c r="B28" s="1" t="s">
        <v>0</v>
      </c>
      <c r="C28">
        <v>4</v>
      </c>
      <c r="D28">
        <v>1</v>
      </c>
      <c r="E28">
        <v>1</v>
      </c>
      <c r="F28">
        <v>0</v>
      </c>
      <c r="G28">
        <v>1</v>
      </c>
      <c r="H28">
        <v>0</v>
      </c>
    </row>
    <row r="29" spans="1:8" x14ac:dyDescent="0.25">
      <c r="A29" s="1" t="s">
        <v>37</v>
      </c>
      <c r="B29" s="1" t="s">
        <v>0</v>
      </c>
      <c r="C29">
        <v>8</v>
      </c>
      <c r="D29">
        <v>6</v>
      </c>
      <c r="E29">
        <v>1</v>
      </c>
      <c r="F29">
        <v>0</v>
      </c>
      <c r="G29">
        <v>0</v>
      </c>
      <c r="H29">
        <v>9</v>
      </c>
    </row>
    <row r="30" spans="1:8" x14ac:dyDescent="0.25">
      <c r="A30" s="1" t="s">
        <v>38</v>
      </c>
      <c r="B30" s="1" t="s">
        <v>0</v>
      </c>
      <c r="C30">
        <v>0</v>
      </c>
      <c r="D30">
        <v>2</v>
      </c>
      <c r="E30">
        <v>4</v>
      </c>
      <c r="F30">
        <v>0</v>
      </c>
      <c r="G30">
        <v>0</v>
      </c>
      <c r="H30">
        <v>1</v>
      </c>
    </row>
    <row r="31" spans="1:8" x14ac:dyDescent="0.25">
      <c r="A31" s="1" t="s">
        <v>39</v>
      </c>
      <c r="B31" s="1" t="s">
        <v>0</v>
      </c>
      <c r="C31">
        <v>5</v>
      </c>
      <c r="D31">
        <v>11</v>
      </c>
      <c r="E31">
        <v>2</v>
      </c>
      <c r="F31">
        <v>0</v>
      </c>
      <c r="G31">
        <v>9</v>
      </c>
      <c r="H31">
        <v>15</v>
      </c>
    </row>
    <row r="32" spans="1:8" x14ac:dyDescent="0.25">
      <c r="A32" s="1" t="s">
        <v>40</v>
      </c>
      <c r="B32" s="1" t="s">
        <v>0</v>
      </c>
      <c r="C32">
        <v>5</v>
      </c>
      <c r="D32">
        <v>12</v>
      </c>
      <c r="E32">
        <v>2</v>
      </c>
      <c r="F32">
        <v>0</v>
      </c>
      <c r="G32">
        <v>10</v>
      </c>
      <c r="H32">
        <v>28</v>
      </c>
    </row>
    <row r="33" spans="1:8" x14ac:dyDescent="0.25">
      <c r="A33" s="1" t="s">
        <v>41</v>
      </c>
      <c r="B33" s="1" t="s">
        <v>0</v>
      </c>
      <c r="C33">
        <v>6</v>
      </c>
      <c r="D33">
        <v>6</v>
      </c>
      <c r="E33">
        <v>2</v>
      </c>
      <c r="F33">
        <v>0</v>
      </c>
      <c r="G33">
        <v>5</v>
      </c>
      <c r="H33">
        <v>8</v>
      </c>
    </row>
    <row r="34" spans="1:8" x14ac:dyDescent="0.25">
      <c r="A34" s="1" t="s">
        <v>42</v>
      </c>
      <c r="B34" s="1" t="s">
        <v>0</v>
      </c>
      <c r="C34">
        <v>5</v>
      </c>
      <c r="D34">
        <v>10</v>
      </c>
      <c r="E34">
        <v>2</v>
      </c>
      <c r="F34">
        <v>0</v>
      </c>
      <c r="G34">
        <v>9</v>
      </c>
      <c r="H34">
        <v>13</v>
      </c>
    </row>
    <row r="35" spans="1:8" x14ac:dyDescent="0.25">
      <c r="A35" s="1" t="s">
        <v>43</v>
      </c>
      <c r="B35" s="1" t="s">
        <v>0</v>
      </c>
      <c r="C35">
        <v>14</v>
      </c>
      <c r="D35">
        <v>7</v>
      </c>
      <c r="E35">
        <v>1</v>
      </c>
      <c r="F35">
        <v>0</v>
      </c>
      <c r="G35">
        <v>27</v>
      </c>
      <c r="H35">
        <v>0</v>
      </c>
    </row>
    <row r="36" spans="1:8" x14ac:dyDescent="0.25">
      <c r="A36" s="1" t="s">
        <v>44</v>
      </c>
      <c r="B36" s="1" t="s">
        <v>0</v>
      </c>
      <c r="C36">
        <v>16</v>
      </c>
      <c r="D36">
        <v>3</v>
      </c>
      <c r="E36">
        <v>1</v>
      </c>
      <c r="F36">
        <v>0</v>
      </c>
      <c r="G36">
        <v>26</v>
      </c>
      <c r="H36">
        <v>0</v>
      </c>
    </row>
    <row r="37" spans="1:8" x14ac:dyDescent="0.25">
      <c r="A37" s="1" t="s">
        <v>45</v>
      </c>
      <c r="B37" s="1" t="s">
        <v>0</v>
      </c>
      <c r="C37">
        <v>5</v>
      </c>
      <c r="D37">
        <v>15</v>
      </c>
      <c r="E37">
        <v>1</v>
      </c>
      <c r="F37">
        <v>4</v>
      </c>
      <c r="G37">
        <v>2</v>
      </c>
      <c r="H37">
        <v>81</v>
      </c>
    </row>
    <row r="38" spans="1:8" x14ac:dyDescent="0.25">
      <c r="A38" s="1" t="s">
        <v>46</v>
      </c>
      <c r="B38" s="1" t="s">
        <v>0</v>
      </c>
      <c r="C38">
        <v>11</v>
      </c>
      <c r="D38">
        <v>9</v>
      </c>
      <c r="E38">
        <v>1</v>
      </c>
      <c r="F38">
        <v>0</v>
      </c>
      <c r="G38">
        <v>2</v>
      </c>
      <c r="H38">
        <v>22</v>
      </c>
    </row>
    <row r="39" spans="1:8" x14ac:dyDescent="0.25">
      <c r="A39" s="1" t="s">
        <v>47</v>
      </c>
      <c r="B39" s="1" t="s">
        <v>0</v>
      </c>
      <c r="C39">
        <v>6</v>
      </c>
      <c r="D39">
        <v>5</v>
      </c>
      <c r="E39">
        <v>1</v>
      </c>
      <c r="F39">
        <v>0</v>
      </c>
      <c r="G39">
        <v>18</v>
      </c>
      <c r="H39">
        <v>0</v>
      </c>
    </row>
    <row r="40" spans="1:8" x14ac:dyDescent="0.25">
      <c r="A40" s="1" t="s">
        <v>48</v>
      </c>
      <c r="B40" s="1" t="s">
        <v>0</v>
      </c>
      <c r="C40">
        <v>11</v>
      </c>
      <c r="D40">
        <v>7</v>
      </c>
      <c r="E40">
        <v>1</v>
      </c>
      <c r="F40">
        <v>0</v>
      </c>
      <c r="G40">
        <v>23</v>
      </c>
      <c r="H40">
        <v>4</v>
      </c>
    </row>
    <row r="41" spans="1:8" x14ac:dyDescent="0.25">
      <c r="A41" s="1" t="s">
        <v>49</v>
      </c>
      <c r="B41" s="1" t="s">
        <v>0</v>
      </c>
      <c r="C41">
        <v>0</v>
      </c>
      <c r="D41">
        <v>1</v>
      </c>
      <c r="E41">
        <v>4</v>
      </c>
      <c r="F41">
        <v>0</v>
      </c>
      <c r="G41">
        <v>0</v>
      </c>
      <c r="H41">
        <v>0</v>
      </c>
    </row>
    <row r="42" spans="1:8" x14ac:dyDescent="0.25">
      <c r="A42" s="1" t="s">
        <v>50</v>
      </c>
      <c r="B42" s="1" t="s">
        <v>0</v>
      </c>
      <c r="C42">
        <v>16</v>
      </c>
      <c r="D42">
        <v>13</v>
      </c>
      <c r="E42">
        <v>1</v>
      </c>
      <c r="F42">
        <v>0</v>
      </c>
      <c r="G42">
        <v>38</v>
      </c>
      <c r="H42">
        <v>0</v>
      </c>
    </row>
    <row r="43" spans="1:8" x14ac:dyDescent="0.25">
      <c r="A43" s="1" t="s">
        <v>51</v>
      </c>
      <c r="B43" s="1" t="s">
        <v>0</v>
      </c>
      <c r="C43">
        <v>10</v>
      </c>
      <c r="D43">
        <v>3</v>
      </c>
      <c r="E43">
        <v>1</v>
      </c>
      <c r="F43">
        <v>0</v>
      </c>
      <c r="G43">
        <v>6</v>
      </c>
      <c r="H43">
        <v>0</v>
      </c>
    </row>
    <row r="44" spans="1:8" x14ac:dyDescent="0.25">
      <c r="A44" s="1" t="s">
        <v>52</v>
      </c>
      <c r="B44" s="1" t="s">
        <v>13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</row>
    <row r="45" spans="1:8" x14ac:dyDescent="0.25">
      <c r="A45" s="1" t="s">
        <v>53</v>
      </c>
      <c r="B45" s="1" t="s">
        <v>0</v>
      </c>
      <c r="C45">
        <v>6</v>
      </c>
      <c r="D45">
        <v>2</v>
      </c>
      <c r="E45">
        <v>1</v>
      </c>
      <c r="F45">
        <v>0</v>
      </c>
      <c r="G45">
        <v>5</v>
      </c>
      <c r="H45">
        <v>0</v>
      </c>
    </row>
    <row r="46" spans="1:8" x14ac:dyDescent="0.25">
      <c r="A46" s="1" t="s">
        <v>54</v>
      </c>
      <c r="B46" s="1" t="s">
        <v>0</v>
      </c>
      <c r="C46">
        <v>9</v>
      </c>
      <c r="D46">
        <v>14</v>
      </c>
      <c r="E46">
        <v>2</v>
      </c>
      <c r="F46">
        <v>0</v>
      </c>
      <c r="G46">
        <v>8</v>
      </c>
      <c r="H46">
        <v>21</v>
      </c>
    </row>
    <row r="47" spans="1:8" x14ac:dyDescent="0.25">
      <c r="A47" s="1" t="s">
        <v>55</v>
      </c>
      <c r="B47" s="1" t="s">
        <v>0</v>
      </c>
      <c r="C47">
        <v>3</v>
      </c>
      <c r="D47">
        <v>0</v>
      </c>
      <c r="E47">
        <v>1</v>
      </c>
      <c r="F47">
        <v>0</v>
      </c>
      <c r="G47">
        <v>0</v>
      </c>
      <c r="H47">
        <v>0</v>
      </c>
    </row>
    <row r="48" spans="1:8" x14ac:dyDescent="0.25">
      <c r="A48" s="1" t="s">
        <v>56</v>
      </c>
      <c r="B48" s="1" t="s">
        <v>0</v>
      </c>
      <c r="C48">
        <v>1</v>
      </c>
      <c r="D48">
        <v>0</v>
      </c>
      <c r="E48">
        <v>1</v>
      </c>
      <c r="F48">
        <v>0</v>
      </c>
      <c r="G48">
        <v>0</v>
      </c>
      <c r="H48">
        <v>0</v>
      </c>
    </row>
    <row r="49" spans="1:8" x14ac:dyDescent="0.25">
      <c r="A49" s="1" t="s">
        <v>57</v>
      </c>
      <c r="B49" s="1" t="s">
        <v>0</v>
      </c>
      <c r="C49">
        <v>0</v>
      </c>
      <c r="D49">
        <v>2</v>
      </c>
      <c r="E49">
        <v>4</v>
      </c>
      <c r="F49">
        <v>0</v>
      </c>
      <c r="G49">
        <v>0</v>
      </c>
      <c r="H49">
        <v>1</v>
      </c>
    </row>
    <row r="50" spans="1:8" x14ac:dyDescent="0.25">
      <c r="A50" s="1" t="s">
        <v>58</v>
      </c>
      <c r="B50" s="1" t="s">
        <v>0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</row>
    <row r="51" spans="1:8" x14ac:dyDescent="0.25">
      <c r="A51" s="1" t="s">
        <v>59</v>
      </c>
      <c r="B51" s="1" t="s">
        <v>0</v>
      </c>
      <c r="C51">
        <v>3</v>
      </c>
      <c r="D51">
        <v>0</v>
      </c>
      <c r="E51">
        <v>1</v>
      </c>
      <c r="F51">
        <v>0</v>
      </c>
      <c r="G51">
        <v>0</v>
      </c>
      <c r="H51">
        <v>0</v>
      </c>
    </row>
    <row r="52" spans="1:8" x14ac:dyDescent="0.25">
      <c r="A52" s="1" t="s">
        <v>60</v>
      </c>
      <c r="B52" s="1" t="s">
        <v>0</v>
      </c>
      <c r="C52">
        <v>3</v>
      </c>
      <c r="D52">
        <v>0</v>
      </c>
      <c r="E52">
        <v>1</v>
      </c>
      <c r="F52">
        <v>0</v>
      </c>
      <c r="G52">
        <v>0</v>
      </c>
      <c r="H52">
        <v>0</v>
      </c>
    </row>
    <row r="53" spans="1:8" x14ac:dyDescent="0.25">
      <c r="A53" s="1" t="s">
        <v>61</v>
      </c>
      <c r="B53" s="1" t="s">
        <v>13</v>
      </c>
      <c r="C53">
        <v>2</v>
      </c>
      <c r="D53">
        <v>1</v>
      </c>
      <c r="E53">
        <v>1</v>
      </c>
      <c r="F53">
        <v>0</v>
      </c>
      <c r="G53">
        <v>0</v>
      </c>
      <c r="H53">
        <v>0</v>
      </c>
    </row>
    <row r="54" spans="1:8" x14ac:dyDescent="0.25">
      <c r="A54" s="1" t="s">
        <v>62</v>
      </c>
      <c r="B54" s="1" t="s">
        <v>0</v>
      </c>
      <c r="C54">
        <v>10</v>
      </c>
      <c r="D54">
        <v>14</v>
      </c>
      <c r="E54">
        <v>1</v>
      </c>
      <c r="F54">
        <v>0</v>
      </c>
      <c r="G54">
        <v>3</v>
      </c>
      <c r="H54">
        <v>17</v>
      </c>
    </row>
    <row r="55" spans="1:8" x14ac:dyDescent="0.25">
      <c r="A55" s="1" t="s">
        <v>63</v>
      </c>
      <c r="B55" s="1" t="s">
        <v>0</v>
      </c>
      <c r="C55">
        <v>3</v>
      </c>
      <c r="D55">
        <v>2</v>
      </c>
      <c r="E55">
        <v>1</v>
      </c>
      <c r="F55">
        <v>0</v>
      </c>
      <c r="G55">
        <v>2</v>
      </c>
      <c r="H55">
        <v>0</v>
      </c>
    </row>
    <row r="56" spans="1:8" x14ac:dyDescent="0.25">
      <c r="A56" s="1" t="s">
        <v>64</v>
      </c>
      <c r="B56" s="1" t="s">
        <v>0</v>
      </c>
      <c r="C56">
        <v>3</v>
      </c>
      <c r="D56">
        <v>0</v>
      </c>
      <c r="E56">
        <v>1</v>
      </c>
      <c r="F56">
        <v>0</v>
      </c>
      <c r="G56">
        <v>0</v>
      </c>
      <c r="H56">
        <v>0</v>
      </c>
    </row>
    <row r="57" spans="1:8" x14ac:dyDescent="0.25">
      <c r="A57" s="1" t="s">
        <v>65</v>
      </c>
      <c r="B57" s="1" t="s">
        <v>13</v>
      </c>
      <c r="C57">
        <v>2</v>
      </c>
      <c r="D57">
        <v>4</v>
      </c>
      <c r="E57">
        <v>1</v>
      </c>
      <c r="F57">
        <v>0</v>
      </c>
      <c r="G57">
        <v>0</v>
      </c>
      <c r="H57">
        <v>6</v>
      </c>
    </row>
    <row r="58" spans="1:8" x14ac:dyDescent="0.25">
      <c r="A58" s="1" t="s">
        <v>66</v>
      </c>
      <c r="B58" s="1" t="s">
        <v>0</v>
      </c>
      <c r="C58">
        <v>5</v>
      </c>
      <c r="D58">
        <v>10</v>
      </c>
      <c r="E58">
        <v>2</v>
      </c>
      <c r="F58">
        <v>0</v>
      </c>
      <c r="G58">
        <v>9</v>
      </c>
      <c r="H58">
        <v>13</v>
      </c>
    </row>
    <row r="59" spans="1:8" x14ac:dyDescent="0.25">
      <c r="A59" s="1" t="s">
        <v>67</v>
      </c>
      <c r="B59" s="1" t="s">
        <v>0</v>
      </c>
      <c r="C59">
        <v>16</v>
      </c>
      <c r="D59">
        <v>8</v>
      </c>
      <c r="E59">
        <v>1</v>
      </c>
      <c r="F59">
        <v>0</v>
      </c>
      <c r="G59">
        <v>16</v>
      </c>
      <c r="H59">
        <v>0</v>
      </c>
    </row>
    <row r="60" spans="1:8" x14ac:dyDescent="0.25">
      <c r="A60" s="1" t="s">
        <v>68</v>
      </c>
      <c r="B60" s="1" t="s">
        <v>0</v>
      </c>
      <c r="C60">
        <v>3</v>
      </c>
      <c r="D60">
        <v>0</v>
      </c>
      <c r="E60">
        <v>1</v>
      </c>
      <c r="F60">
        <v>0</v>
      </c>
      <c r="G60">
        <v>0</v>
      </c>
      <c r="H60">
        <v>0</v>
      </c>
    </row>
    <row r="61" spans="1:8" x14ac:dyDescent="0.25">
      <c r="A61" s="1" t="s">
        <v>69</v>
      </c>
      <c r="B61" s="1" t="s">
        <v>10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</row>
    <row r="62" spans="1:8" x14ac:dyDescent="0.25">
      <c r="A62" s="1" t="s">
        <v>70</v>
      </c>
      <c r="B62" s="1" t="s">
        <v>0</v>
      </c>
      <c r="C62">
        <v>3</v>
      </c>
      <c r="D62">
        <v>0</v>
      </c>
      <c r="E62">
        <v>1</v>
      </c>
      <c r="F62">
        <v>0</v>
      </c>
      <c r="G62">
        <v>0</v>
      </c>
      <c r="H62">
        <v>0</v>
      </c>
    </row>
    <row r="63" spans="1:8" x14ac:dyDescent="0.25">
      <c r="A63" s="1" t="s">
        <v>71</v>
      </c>
      <c r="B63" s="1" t="s">
        <v>0</v>
      </c>
      <c r="C63">
        <v>3</v>
      </c>
      <c r="D63">
        <v>0</v>
      </c>
      <c r="E63">
        <v>1</v>
      </c>
      <c r="F63">
        <v>0</v>
      </c>
      <c r="G63">
        <v>0</v>
      </c>
      <c r="H63">
        <v>0</v>
      </c>
    </row>
    <row r="64" spans="1:8" x14ac:dyDescent="0.25">
      <c r="A64" s="1" t="s">
        <v>72</v>
      </c>
      <c r="B64" s="1" t="s">
        <v>0</v>
      </c>
      <c r="C64">
        <v>6</v>
      </c>
      <c r="D64">
        <v>20</v>
      </c>
      <c r="E64">
        <v>1</v>
      </c>
      <c r="F64">
        <v>3</v>
      </c>
      <c r="G64">
        <v>8</v>
      </c>
      <c r="H64">
        <v>58</v>
      </c>
    </row>
    <row r="65" spans="1:8" x14ac:dyDescent="0.25">
      <c r="A65" s="1" t="s">
        <v>73</v>
      </c>
      <c r="B65" s="1" t="s">
        <v>13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</row>
    <row r="66" spans="1:8" x14ac:dyDescent="0.25">
      <c r="A66" t="s">
        <v>74</v>
      </c>
      <c r="C66">
        <f>SUBTOTAL(101,class[cbo])</f>
        <v>5.765625</v>
      </c>
      <c r="D66">
        <f>SUBTOTAL(101,class[wmc])</f>
        <v>5.453125</v>
      </c>
      <c r="E66">
        <f>SUBTOTAL(101,class[dit])</f>
        <v>1.40625</v>
      </c>
      <c r="F66">
        <f>SUBTOTAL(101,class[noc])</f>
        <v>0.109375</v>
      </c>
      <c r="G66">
        <f>SUBTOTAL(101,class[rfc])</f>
        <v>6.34375</v>
      </c>
      <c r="H66">
        <f>SUBTOTAL(101,class[lcom])</f>
        <v>7.9375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A694-3384-498D-8624-885A9B4455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0DBCA-0328-44D4-9FDC-E981CB9F2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IZZAN AUZI MULYANA PUTRA</dc:creator>
  <cp:lastModifiedBy>MUHAMMAD IZZAN AUZI MULYANA PUTRA</cp:lastModifiedBy>
  <dcterms:created xsi:type="dcterms:W3CDTF">2026-06-19T06:30:21Z</dcterms:created>
  <dcterms:modified xsi:type="dcterms:W3CDTF">2026-06-19T07:04:18Z</dcterms:modified>
</cp:coreProperties>
</file>